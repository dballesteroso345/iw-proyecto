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ánAlbertoCastibl\Downloads\OneDrive_2023-10-09\Reto Beta-Exam\"/>
    </mc:Choice>
  </mc:AlternateContent>
  <xr:revisionPtr revIDLastSave="0" documentId="13_ncr:1_{E9FDDB8E-EFF3-479F-BA64-BC18DAAF15BB}" xr6:coauthVersionLast="45" xr6:coauthVersionMax="47" xr10:uidLastSave="{00000000-0000-0000-0000-000000000000}"/>
  <bookViews>
    <workbookView xWindow="-120" yWindow="-120" windowWidth="20730" windowHeight="11160" xr2:uid="{E5E43A1F-60E0-4E49-98BD-46724C479483}"/>
  </bookViews>
  <sheets>
    <sheet name="Agosto 2023" sheetId="6" r:id="rId1"/>
    <sheet name="Septiembre 202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6" l="1"/>
  <c r="B6" i="6"/>
  <c r="C46" i="6" l="1"/>
  <c r="B46" i="6"/>
  <c r="D46" i="6" s="1"/>
  <c r="D48" i="6" s="1"/>
  <c r="D6" i="6"/>
  <c r="C6" i="6"/>
  <c r="C48" i="6" s="1"/>
  <c r="B48" i="6"/>
  <c r="C46" i="2" l="1"/>
  <c r="B46" i="2"/>
  <c r="D46" i="2" s="1"/>
  <c r="B8" i="2"/>
  <c r="D6" i="2"/>
  <c r="C6" i="2"/>
  <c r="C48" i="2" s="1"/>
  <c r="B6" i="2"/>
  <c r="B48" i="2" l="1"/>
  <c r="D48" i="2"/>
</calcChain>
</file>

<file path=xl/sharedStrings.xml><?xml version="1.0" encoding="utf-8"?>
<sst xmlns="http://schemas.openxmlformats.org/spreadsheetml/2006/main" count="96" uniqueCount="52">
  <si>
    <t>Ingresos</t>
  </si>
  <si>
    <t>Aproximado</t>
  </si>
  <si>
    <t>Real</t>
  </si>
  <si>
    <t>Diferencia</t>
  </si>
  <si>
    <t>Descripción</t>
  </si>
  <si>
    <t>Contrato mama</t>
  </si>
  <si>
    <t>contrato hijo</t>
  </si>
  <si>
    <t>TOTAL INGRESOS</t>
  </si>
  <si>
    <t>CDT compra carro</t>
  </si>
  <si>
    <t>total ahorros</t>
  </si>
  <si>
    <t>Egresos Colombia</t>
  </si>
  <si>
    <t>CUOTA NETFLIX</t>
  </si>
  <si>
    <t>PAGO ADMINISTACION CASA</t>
  </si>
  <si>
    <t>PAGO COOPERATIVA</t>
  </si>
  <si>
    <t>PAGO MEDICINA PREPAGADA</t>
  </si>
  <si>
    <t>PAGO SALUD Y PENSIONES</t>
  </si>
  <si>
    <t>AYUDAS A FAMILIARES</t>
  </si>
  <si>
    <t>DIEZMO</t>
  </si>
  <si>
    <t>MERCADO</t>
  </si>
  <si>
    <t>COMIDAS AFUERA</t>
  </si>
  <si>
    <t>TRANSPORTE BUS</t>
  </si>
  <si>
    <t>TRANSPORTE TAXI</t>
  </si>
  <si>
    <t>TRANSPORTE CARRO/MOTO/GASOLINA</t>
  </si>
  <si>
    <t>CITAS MEDICAS</t>
  </si>
  <si>
    <t>DEPORTE ENTRENO + INSCRIPCIONES</t>
  </si>
  <si>
    <t>GATAS</t>
  </si>
  <si>
    <t>PAGO GOOGLE</t>
  </si>
  <si>
    <t>PAGO LUZ</t>
  </si>
  <si>
    <t>PAGO AGUA</t>
  </si>
  <si>
    <t>PAGO GAS</t>
  </si>
  <si>
    <t>PAGO CLARO MOVIL</t>
  </si>
  <si>
    <t>PAGO INTERNET</t>
  </si>
  <si>
    <t>COSAS DE CASA</t>
  </si>
  <si>
    <t>ROPA</t>
  </si>
  <si>
    <t xml:space="preserve">REGALOS </t>
  </si>
  <si>
    <t>LIBROS</t>
  </si>
  <si>
    <t>PELUQUERIA</t>
  </si>
  <si>
    <t>ENTRENAMIENTO/VIAJE</t>
  </si>
  <si>
    <t>TECNOLOGIA</t>
  </si>
  <si>
    <t>TOTAL EGRESOS</t>
  </si>
  <si>
    <t>Varios:</t>
  </si>
  <si>
    <t>Ahorro Esperado</t>
  </si>
  <si>
    <t>Contrato papa</t>
  </si>
  <si>
    <t>CUOTA  CASA</t>
  </si>
  <si>
    <t>OFRENDAS FAMILIA</t>
  </si>
  <si>
    <t>ENTRETENIMIENTO/VIAJE</t>
  </si>
  <si>
    <t>VIAJES</t>
  </si>
  <si>
    <t>CUOTA CASA</t>
  </si>
  <si>
    <t>PRESTAMO</t>
  </si>
  <si>
    <t>PAGO TARJETA NUBE</t>
  </si>
  <si>
    <t>JARDIN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</si>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</sst>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mm/dd/yyyy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5" fontId="2" fillId="4" borderId="1" xfId="0" applyNumberFormat="1" applyFont="1" applyFill="1" applyBorder="1"/>
    <xf numFmtId="14" fontId="2" fillId="4" borderId="1" xfId="0" applyNumberFormat="1" applyFont="1" applyFill="1" applyBorder="1"/>
    <xf numFmtId="0" fontId="5" fillId="0" borderId="1" xfId="0" applyFon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165" fontId="2" fillId="0" borderId="1" xfId="0" applyNumberFormat="1" applyFont="1" applyBorder="1"/>
    <xf numFmtId="0" fontId="1" fillId="0" borderId="1" xfId="0" applyFont="1" applyBorder="1"/>
    <xf numFmtId="0" fontId="6" fillId="5" borderId="0" xfId="0" applyFont="1" applyFill="1"/>
    <xf numFmtId="164" fontId="6" fillId="5" borderId="0" xfId="0" applyNumberFormat="1" applyFont="1" applyFill="1"/>
    <xf numFmtId="0" fontId="5" fillId="6" borderId="1" xfId="0" applyFont="1" applyFill="1" applyBorder="1"/>
    <xf numFmtId="164" fontId="6" fillId="0" borderId="1" xfId="0" applyNumberFormat="1" applyFont="1" applyBorder="1"/>
    <xf numFmtId="164" fontId="2" fillId="3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6" borderId="1" xfId="0" applyFont="1" applyFill="1" applyBorder="1"/>
    <xf numFmtId="165" fontId="2" fillId="3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3" fillId="0" borderId="1" xfId="0" applyFont="1" applyBorder="1"/>
    <xf numFmtId="14" fontId="1" fillId="6" borderId="1" xfId="0" applyNumberFormat="1" applyFont="1" applyFill="1" applyBorder="1" applyAlignment="1">
      <alignment horizontal="right"/>
    </xf>
    <xf numFmtId="0" fontId="8" fillId="6" borderId="1" xfId="0" applyFont="1" applyFill="1" applyBorder="1"/>
    <xf numFmtId="0" fontId="5" fillId="3" borderId="1" xfId="0" applyFont="1" applyFill="1" applyBorder="1"/>
    <xf numFmtId="0" fontId="9" fillId="6" borderId="1" xfId="0" applyFont="1" applyFill="1" applyBorder="1" applyAlignment="1">
      <alignment horizontal="right"/>
    </xf>
    <xf numFmtId="165" fontId="1" fillId="4" borderId="1" xfId="0" applyNumberFormat="1" applyFont="1" applyFill="1" applyBorder="1"/>
    <xf numFmtId="14" fontId="1" fillId="4" borderId="1" xfId="0" applyNumberFormat="1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164" fontId="1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/>
    <xf numFmtId="14" fontId="2" fillId="5" borderId="1" xfId="0" applyNumberFormat="1" applyFont="1" applyFill="1" applyBorder="1"/>
    <xf numFmtId="164" fontId="1" fillId="7" borderId="1" xfId="0" applyNumberFormat="1" applyFont="1" applyFill="1" applyBorder="1"/>
    <xf numFmtId="0" fontId="10" fillId="6" borderId="1" xfId="0" applyFont="1" applyFill="1" applyBorder="1"/>
    <xf numFmtId="20" fontId="0" fillId="0" borderId="0" xfId="0" applyNumberFormat="1"/>
    <xf numFmtId="0" fontId="11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F3B0-5E19-4980-9953-15EFBCC054DC}">
  <dimension ref="A1:H48"/>
  <sheetViews>
    <sheetView tabSelected="1" workbookViewId="0">
      <selection activeCell="D14" sqref="D14"/>
    </sheetView>
  </sheetViews>
  <sheetFormatPr defaultColWidth="11.42578125" defaultRowHeight="15" x14ac:dyDescent="0.25"/>
  <cols>
    <col min="1" max="1" width="29.5703125" bestFit="1" customWidth="1"/>
    <col min="2" max="2" width="12.140625" bestFit="1" customWidth="1"/>
    <col min="3" max="3" width="28.42578125" customWidth="1"/>
    <col min="4" max="4" width="27.28515625" customWidth="1"/>
    <col min="5" max="5" width="2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 t="s">
        <v>42</v>
      </c>
      <c r="B2" s="3">
        <v>10574000</v>
      </c>
      <c r="C2" s="3"/>
      <c r="D2" s="4"/>
      <c r="E2" s="2"/>
      <c r="H2" s="45">
        <v>0.36874999999999997</v>
      </c>
    </row>
    <row r="3" spans="1:8" x14ac:dyDescent="0.25">
      <c r="A3" s="2" t="s">
        <v>5</v>
      </c>
      <c r="B3" s="3">
        <v>8500000</v>
      </c>
      <c r="C3" s="3"/>
      <c r="D3" s="4"/>
      <c r="E3" s="2"/>
    </row>
    <row r="4" spans="1:8" x14ac:dyDescent="0.25">
      <c r="A4" s="5" t="s">
        <v>6</v>
      </c>
      <c r="B4" s="6">
        <v>2500000</v>
      </c>
      <c r="C4" s="6"/>
      <c r="D4" s="7"/>
      <c r="E4" s="5"/>
    </row>
    <row r="5" spans="1:8" x14ac:dyDescent="0.25">
      <c r="A5" s="5"/>
      <c r="B5" s="6"/>
      <c r="C5" s="7"/>
      <c r="D5" s="7"/>
      <c r="E5" s="5"/>
    </row>
    <row r="6" spans="1:8" x14ac:dyDescent="0.25">
      <c r="A6" s="8" t="s">
        <v>7</v>
      </c>
      <c r="B6" s="9">
        <f>SUM(B1:B5)</f>
        <v>21574000</v>
      </c>
      <c r="C6" s="9">
        <f>SUM(C2:C5)</f>
        <v>0</v>
      </c>
      <c r="D6" s="10">
        <f>D5+D2</f>
        <v>0</v>
      </c>
      <c r="E6" s="11"/>
    </row>
    <row r="7" spans="1:8" x14ac:dyDescent="0.25">
      <c r="A7" s="12" t="s">
        <v>8</v>
      </c>
      <c r="B7" s="13">
        <v>10000000</v>
      </c>
      <c r="C7" s="14"/>
      <c r="D7" s="15"/>
      <c r="E7" s="16"/>
    </row>
    <row r="8" spans="1:8" x14ac:dyDescent="0.25">
      <c r="A8" s="17" t="s">
        <v>9</v>
      </c>
      <c r="B8" s="18">
        <f>SUM(B7:B7)</f>
        <v>10000000</v>
      </c>
      <c r="C8" s="17"/>
      <c r="D8" s="17"/>
      <c r="E8" s="17"/>
    </row>
    <row r="9" spans="1:8" x14ac:dyDescent="0.25">
      <c r="A9" s="8" t="s">
        <v>10</v>
      </c>
      <c r="B9" s="9"/>
      <c r="C9" s="9"/>
      <c r="D9" s="10"/>
      <c r="E9" s="11"/>
    </row>
    <row r="10" spans="1:8" x14ac:dyDescent="0.25">
      <c r="A10" s="19" t="s">
        <v>47</v>
      </c>
      <c r="B10" s="20">
        <v>3700000</v>
      </c>
      <c r="C10" s="21"/>
      <c r="D10" s="22"/>
      <c r="E10" s="23"/>
    </row>
    <row r="11" spans="1:8" x14ac:dyDescent="0.25">
      <c r="A11" s="24" t="s">
        <v>11</v>
      </c>
      <c r="B11" s="20">
        <v>15000</v>
      </c>
      <c r="C11" s="25"/>
      <c r="D11" s="22"/>
      <c r="E11" s="23"/>
    </row>
    <row r="12" spans="1:8" x14ac:dyDescent="0.25">
      <c r="A12" s="19" t="s">
        <v>12</v>
      </c>
      <c r="B12" s="20">
        <v>122000</v>
      </c>
      <c r="C12" s="25"/>
      <c r="D12" s="22"/>
      <c r="E12" s="26"/>
    </row>
    <row r="13" spans="1:8" x14ac:dyDescent="0.25">
      <c r="A13" s="24"/>
      <c r="B13" s="20"/>
      <c r="C13" s="25"/>
      <c r="D13" s="22"/>
      <c r="E13" s="23"/>
    </row>
    <row r="14" spans="1:8" x14ac:dyDescent="0.25">
      <c r="A14" s="19" t="s">
        <v>13</v>
      </c>
      <c r="B14" s="20">
        <v>100287</v>
      </c>
      <c r="C14" s="25"/>
      <c r="D14" s="22"/>
      <c r="E14" s="26"/>
    </row>
    <row r="15" spans="1:8" x14ac:dyDescent="0.25">
      <c r="A15" s="19" t="s">
        <v>14</v>
      </c>
      <c r="B15" s="20">
        <v>341600</v>
      </c>
      <c r="C15" s="25"/>
      <c r="D15" s="22"/>
      <c r="E15" s="27"/>
    </row>
    <row r="16" spans="1:8" x14ac:dyDescent="0.25">
      <c r="A16" s="19" t="s">
        <v>15</v>
      </c>
      <c r="B16" s="20">
        <v>1400000</v>
      </c>
      <c r="C16" s="25"/>
      <c r="D16" s="22"/>
      <c r="E16" s="28"/>
    </row>
    <row r="17" spans="1:5" x14ac:dyDescent="0.25">
      <c r="A17" s="29"/>
      <c r="B17" s="14"/>
      <c r="C17" s="25"/>
      <c r="D17" s="22"/>
      <c r="E17" s="30"/>
    </row>
    <row r="18" spans="1:5" x14ac:dyDescent="0.25">
      <c r="A18" s="19" t="s">
        <v>49</v>
      </c>
      <c r="B18" s="14">
        <v>1500000</v>
      </c>
      <c r="C18" s="25"/>
      <c r="D18" s="22"/>
      <c r="E18" s="31"/>
    </row>
    <row r="19" spans="1:5" x14ac:dyDescent="0.25">
      <c r="A19" s="19"/>
      <c r="B19" s="14"/>
      <c r="C19" s="25"/>
      <c r="D19" s="22"/>
      <c r="E19" s="32"/>
    </row>
    <row r="20" spans="1:5" x14ac:dyDescent="0.25">
      <c r="A20" s="19" t="s">
        <v>44</v>
      </c>
      <c r="B20" s="20">
        <v>500000</v>
      </c>
      <c r="C20" s="25"/>
      <c r="D20" s="22"/>
      <c r="E20" s="26"/>
    </row>
    <row r="21" spans="1:5" x14ac:dyDescent="0.25">
      <c r="A21" s="33" t="s">
        <v>17</v>
      </c>
      <c r="B21" s="20">
        <v>150000</v>
      </c>
      <c r="C21" s="25"/>
      <c r="D21" s="22"/>
      <c r="E21" s="26"/>
    </row>
    <row r="22" spans="1:5" x14ac:dyDescent="0.25">
      <c r="A22" s="31" t="s">
        <v>50</v>
      </c>
      <c r="B22" s="20">
        <v>50000</v>
      </c>
      <c r="C22" s="25"/>
      <c r="D22" s="22"/>
      <c r="E22" s="23"/>
    </row>
    <row r="23" spans="1:5" x14ac:dyDescent="0.25">
      <c r="A23" s="33" t="s">
        <v>18</v>
      </c>
      <c r="B23" s="20">
        <v>1600000</v>
      </c>
      <c r="C23" s="25"/>
      <c r="D23" s="22"/>
      <c r="E23" s="26"/>
    </row>
    <row r="24" spans="1:5" x14ac:dyDescent="0.25">
      <c r="A24" s="33" t="s">
        <v>19</v>
      </c>
      <c r="B24" s="20">
        <v>2500000</v>
      </c>
      <c r="C24" s="25"/>
      <c r="D24" s="22"/>
      <c r="E24" s="26"/>
    </row>
    <row r="25" spans="1:5" x14ac:dyDescent="0.25">
      <c r="A25" s="33" t="s">
        <v>20</v>
      </c>
      <c r="B25" s="20">
        <v>150000</v>
      </c>
      <c r="C25" s="25"/>
      <c r="D25" s="22"/>
      <c r="E25" s="26"/>
    </row>
    <row r="26" spans="1:5" x14ac:dyDescent="0.25">
      <c r="A26" s="29" t="s">
        <v>21</v>
      </c>
      <c r="B26" s="20">
        <v>60000</v>
      </c>
      <c r="C26" s="25"/>
      <c r="D26" s="22"/>
      <c r="E26" s="26"/>
    </row>
    <row r="27" spans="1:5" x14ac:dyDescent="0.25">
      <c r="A27" s="29" t="s">
        <v>22</v>
      </c>
      <c r="B27" s="20">
        <v>150000</v>
      </c>
      <c r="C27" s="25"/>
      <c r="D27" s="22"/>
      <c r="E27" s="26"/>
    </row>
    <row r="28" spans="1:5" x14ac:dyDescent="0.25">
      <c r="A28" s="33" t="s">
        <v>23</v>
      </c>
      <c r="B28" s="20">
        <v>0</v>
      </c>
      <c r="C28" s="25"/>
      <c r="D28" s="22"/>
      <c r="E28" s="26"/>
    </row>
    <row r="29" spans="1:5" x14ac:dyDescent="0.25">
      <c r="A29" s="33" t="s">
        <v>24</v>
      </c>
      <c r="B29" s="20">
        <v>4000000</v>
      </c>
      <c r="C29" s="25"/>
      <c r="D29" s="22"/>
      <c r="E29" s="26"/>
    </row>
    <row r="30" spans="1:5" x14ac:dyDescent="0.25">
      <c r="A30" s="34" t="s">
        <v>25</v>
      </c>
      <c r="B30" s="20">
        <v>200000</v>
      </c>
      <c r="C30" s="25"/>
      <c r="D30" s="22"/>
      <c r="E30" s="32"/>
    </row>
    <row r="31" spans="1:5" x14ac:dyDescent="0.25">
      <c r="A31" s="31" t="s">
        <v>51</v>
      </c>
      <c r="B31" s="20">
        <v>50000</v>
      </c>
      <c r="C31" s="25"/>
      <c r="D31" s="22"/>
      <c r="E31" s="23"/>
    </row>
    <row r="32" spans="1:5" x14ac:dyDescent="0.25">
      <c r="A32" s="34" t="s">
        <v>26</v>
      </c>
      <c r="B32" s="20">
        <v>0</v>
      </c>
      <c r="C32" s="25"/>
      <c r="D32" s="22"/>
      <c r="E32" s="30"/>
    </row>
    <row r="33" spans="1:5" x14ac:dyDescent="0.25">
      <c r="A33" s="34" t="s">
        <v>27</v>
      </c>
      <c r="B33" s="20">
        <v>130000</v>
      </c>
      <c r="C33" s="25"/>
      <c r="D33" s="22"/>
      <c r="E33" s="32"/>
    </row>
    <row r="34" spans="1:5" x14ac:dyDescent="0.25">
      <c r="A34" s="34" t="s">
        <v>28</v>
      </c>
      <c r="B34" s="20">
        <v>70000</v>
      </c>
      <c r="C34" s="25"/>
      <c r="D34" s="22"/>
      <c r="E34" s="30"/>
    </row>
    <row r="35" spans="1:5" x14ac:dyDescent="0.25">
      <c r="A35" s="34" t="s">
        <v>29</v>
      </c>
      <c r="B35" s="20">
        <v>20000</v>
      </c>
      <c r="C35" s="25"/>
      <c r="D35" s="22"/>
      <c r="E35" s="26"/>
    </row>
    <row r="36" spans="1:5" x14ac:dyDescent="0.25">
      <c r="A36" s="31" t="s">
        <v>30</v>
      </c>
      <c r="B36" s="20">
        <v>60000</v>
      </c>
      <c r="C36" s="25"/>
      <c r="D36" s="22"/>
      <c r="E36" s="23"/>
    </row>
    <row r="37" spans="1:5" x14ac:dyDescent="0.25">
      <c r="A37" s="31" t="s">
        <v>31</v>
      </c>
      <c r="B37" s="20">
        <v>85000</v>
      </c>
      <c r="C37" s="25"/>
      <c r="D37" s="22"/>
      <c r="E37" s="26"/>
    </row>
    <row r="38" spans="1:5" x14ac:dyDescent="0.25">
      <c r="A38" s="31" t="s">
        <v>46</v>
      </c>
      <c r="B38" s="20">
        <v>30000</v>
      </c>
      <c r="C38" s="25"/>
      <c r="D38" s="22"/>
      <c r="E38" s="26"/>
    </row>
    <row r="39" spans="1:5" x14ac:dyDescent="0.25">
      <c r="A39" s="33" t="s">
        <v>32</v>
      </c>
      <c r="B39" s="20">
        <v>30000</v>
      </c>
      <c r="C39" s="25"/>
      <c r="D39" s="22"/>
      <c r="E39" s="26"/>
    </row>
    <row r="40" spans="1:5" x14ac:dyDescent="0.25">
      <c r="A40" s="33" t="s">
        <v>33</v>
      </c>
      <c r="B40" s="20">
        <v>50000</v>
      </c>
      <c r="C40" s="25"/>
      <c r="D40" s="22"/>
      <c r="E40" s="35"/>
    </row>
    <row r="41" spans="1:5" x14ac:dyDescent="0.25">
      <c r="A41" s="33" t="s">
        <v>34</v>
      </c>
      <c r="B41" s="20">
        <v>100000</v>
      </c>
      <c r="C41" s="25"/>
      <c r="D41" s="22"/>
      <c r="E41" s="35"/>
    </row>
    <row r="42" spans="1:5" x14ac:dyDescent="0.25">
      <c r="A42" s="33" t="s">
        <v>35</v>
      </c>
      <c r="B42" s="20">
        <v>50000</v>
      </c>
      <c r="C42" s="25"/>
      <c r="D42" s="22"/>
      <c r="E42" s="26"/>
    </row>
    <row r="43" spans="1:5" x14ac:dyDescent="0.25">
      <c r="A43" s="33" t="s">
        <v>36</v>
      </c>
      <c r="B43" s="20">
        <v>100000</v>
      </c>
      <c r="C43" s="25"/>
      <c r="D43" s="22"/>
      <c r="E43" s="26"/>
    </row>
    <row r="44" spans="1:5" x14ac:dyDescent="0.25">
      <c r="A44" s="33" t="s">
        <v>45</v>
      </c>
      <c r="B44" s="20">
        <v>500000</v>
      </c>
      <c r="C44" s="25"/>
      <c r="D44" s="22"/>
      <c r="E44" s="26"/>
    </row>
    <row r="45" spans="1:5" x14ac:dyDescent="0.25">
      <c r="A45" s="29" t="s">
        <v>48</v>
      </c>
      <c r="B45" s="20">
        <v>0</v>
      </c>
      <c r="C45" s="25"/>
      <c r="D45" s="22"/>
      <c r="E45" s="26"/>
    </row>
    <row r="46" spans="1:5" x14ac:dyDescent="0.25">
      <c r="A46" s="8" t="s">
        <v>39</v>
      </c>
      <c r="B46" s="9">
        <f>SUM(B10:B45)</f>
        <v>17813887</v>
      </c>
      <c r="C46" s="9">
        <f>SUM(C10:C45)</f>
        <v>0</v>
      </c>
      <c r="D46" s="36">
        <f>B46-C46</f>
        <v>17813887</v>
      </c>
      <c r="E46" s="37"/>
    </row>
    <row r="47" spans="1:5" x14ac:dyDescent="0.25">
      <c r="A47" s="38" t="s">
        <v>40</v>
      </c>
      <c r="B47" s="39"/>
      <c r="C47" s="40"/>
      <c r="D47" s="41"/>
      <c r="E47" s="42"/>
    </row>
    <row r="48" spans="1:5" x14ac:dyDescent="0.25">
      <c r="A48" s="8" t="s">
        <v>41</v>
      </c>
      <c r="B48" s="9">
        <f>B6-B46</f>
        <v>3760113</v>
      </c>
      <c r="C48" s="43">
        <f>C6-C46</f>
        <v>0</v>
      </c>
      <c r="D48" s="36">
        <f>D6-D46</f>
        <v>-17813887</v>
      </c>
      <c r="E48" s="11"/>
    </row>
  </sheetData>
  <conditionalFormatting sqref="A10:A45">
    <cfRule type="expression" dxfId="0" priority="1">
      <formula>"IF=1"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3788-B4D8-46D1-BE33-1A73331E4123}">
  <dimension ref="A1:H48"/>
  <sheetViews>
    <sheetView workbookViewId="0">
      <selection activeCell="C2" sqref="C2"/>
    </sheetView>
  </sheetViews>
  <sheetFormatPr defaultColWidth="11.42578125" defaultRowHeight="15" x14ac:dyDescent="0.25"/>
  <cols>
    <col min="1" max="1" width="29.5703125" bestFit="1" customWidth="1"/>
    <col min="2" max="2" width="12.140625" bestFit="1" customWidth="1"/>
    <col min="3" max="3" width="28.42578125" customWidth="1"/>
    <col min="4" max="4" width="27.28515625" customWidth="1"/>
    <col min="5" max="5" width="2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 t="s">
        <v>42</v>
      </c>
      <c r="B2" s="3">
        <v>10574000</v>
      </c>
      <c r="C2" s="3"/>
      <c r="D2" s="4"/>
      <c r="E2" s="2"/>
      <c r="H2" s="45">
        <v>0.36874999999999997</v>
      </c>
    </row>
    <row r="3" spans="1:8" x14ac:dyDescent="0.25">
      <c r="A3" s="2" t="s">
        <v>5</v>
      </c>
      <c r="B3" s="3">
        <v>8500000</v>
      </c>
      <c r="C3" s="3"/>
      <c r="D3" s="4"/>
      <c r="E3" s="2"/>
    </row>
    <row r="4" spans="1:8" x14ac:dyDescent="0.25">
      <c r="A4" s="5" t="s">
        <v>6</v>
      </c>
      <c r="B4" s="6">
        <v>2500000</v>
      </c>
      <c r="C4" s="6"/>
      <c r="D4" s="7"/>
      <c r="E4" s="5"/>
    </row>
    <row r="5" spans="1:8" x14ac:dyDescent="0.25">
      <c r="A5" s="5"/>
      <c r="B5" s="6"/>
      <c r="C5" s="7"/>
      <c r="D5" s="7"/>
      <c r="E5" s="5"/>
    </row>
    <row r="6" spans="1:8" x14ac:dyDescent="0.25">
      <c r="A6" s="8" t="s">
        <v>7</v>
      </c>
      <c r="B6" s="9">
        <f>SUM(B1:B5)</f>
        <v>21574000</v>
      </c>
      <c r="C6" s="9">
        <f>SUM(C2:C5)</f>
        <v>0</v>
      </c>
      <c r="D6" s="10">
        <f>D5+D2</f>
        <v>0</v>
      </c>
      <c r="E6" s="11"/>
    </row>
    <row r="7" spans="1:8" x14ac:dyDescent="0.25">
      <c r="A7" s="12" t="s">
        <v>8</v>
      </c>
      <c r="B7" s="13">
        <v>10000000</v>
      </c>
      <c r="C7" s="14"/>
      <c r="D7" s="15"/>
      <c r="E7" s="16"/>
    </row>
    <row r="8" spans="1:8" x14ac:dyDescent="0.25">
      <c r="A8" s="17" t="s">
        <v>9</v>
      </c>
      <c r="B8" s="18">
        <f>SUM(B7:B7)</f>
        <v>10000000</v>
      </c>
      <c r="C8" s="17"/>
      <c r="D8" s="17"/>
      <c r="E8" s="17"/>
    </row>
    <row r="9" spans="1:8" x14ac:dyDescent="0.25">
      <c r="A9" s="8" t="s">
        <v>10</v>
      </c>
      <c r="B9" s="9"/>
      <c r="C9" s="9"/>
      <c r="D9" s="10"/>
      <c r="E9" s="11"/>
    </row>
    <row r="10" spans="1:8" x14ac:dyDescent="0.25">
      <c r="A10" s="19" t="s">
        <v>43</v>
      </c>
      <c r="B10" s="20">
        <v>3700000</v>
      </c>
      <c r="C10" s="21"/>
      <c r="D10" s="22"/>
      <c r="E10" s="23"/>
    </row>
    <row r="11" spans="1:8" x14ac:dyDescent="0.25">
      <c r="A11" s="24" t="s">
        <v>11</v>
      </c>
      <c r="B11" s="20">
        <v>15000</v>
      </c>
      <c r="C11" s="25"/>
      <c r="D11" s="22"/>
      <c r="E11" s="23"/>
    </row>
    <row r="12" spans="1:8" x14ac:dyDescent="0.25">
      <c r="A12" s="19" t="s">
        <v>12</v>
      </c>
      <c r="B12" s="20">
        <v>122000</v>
      </c>
      <c r="C12" s="25"/>
      <c r="D12" s="22"/>
      <c r="E12" s="26"/>
    </row>
    <row r="13" spans="1:8" x14ac:dyDescent="0.25">
      <c r="A13" s="24"/>
      <c r="B13" s="20"/>
      <c r="C13" s="25"/>
      <c r="D13" s="22"/>
      <c r="E13" s="23"/>
    </row>
    <row r="14" spans="1:8" x14ac:dyDescent="0.25">
      <c r="A14" s="19" t="s">
        <v>13</v>
      </c>
      <c r="B14" s="20">
        <v>100287</v>
      </c>
      <c r="C14" s="25"/>
      <c r="D14" s="22"/>
      <c r="E14" s="26"/>
    </row>
    <row r="15" spans="1:8" x14ac:dyDescent="0.25">
      <c r="A15" s="44" t="s">
        <v>14</v>
      </c>
      <c r="B15" s="20">
        <v>341600</v>
      </c>
      <c r="C15" s="25"/>
      <c r="D15" s="22"/>
      <c r="E15" s="27"/>
    </row>
    <row r="16" spans="1:8" x14ac:dyDescent="0.25">
      <c r="A16" s="19" t="s">
        <v>15</v>
      </c>
      <c r="B16" s="20">
        <v>1400000</v>
      </c>
      <c r="C16" s="25"/>
      <c r="D16" s="22"/>
      <c r="E16" s="28"/>
    </row>
    <row r="17" spans="1:5" x14ac:dyDescent="0.25">
      <c r="A17" s="29"/>
      <c r="B17" s="14"/>
      <c r="C17" s="25"/>
      <c r="D17" s="22"/>
      <c r="E17" s="30"/>
    </row>
    <row r="18" spans="1:5" x14ac:dyDescent="0.25">
      <c r="A18" s="19" t="s">
        <v>49</v>
      </c>
      <c r="B18" s="14">
        <v>1500000</v>
      </c>
      <c r="C18" s="25"/>
      <c r="D18" s="22"/>
      <c r="E18" s="31"/>
    </row>
    <row r="19" spans="1:5" x14ac:dyDescent="0.25">
      <c r="A19" s="19"/>
      <c r="B19" s="14"/>
      <c r="C19" s="25"/>
      <c r="D19" s="22"/>
      <c r="E19" s="32"/>
    </row>
    <row r="20" spans="1:5" x14ac:dyDescent="0.25">
      <c r="A20" s="19" t="s">
        <v>16</v>
      </c>
      <c r="B20" s="20">
        <v>500000</v>
      </c>
      <c r="C20" s="25"/>
      <c r="D20" s="22"/>
      <c r="E20" s="26"/>
    </row>
    <row r="21" spans="1:5" x14ac:dyDescent="0.25">
      <c r="A21" s="33" t="s">
        <v>17</v>
      </c>
      <c r="B21" s="20">
        <v>150000</v>
      </c>
      <c r="C21" s="25"/>
      <c r="D21" s="22"/>
      <c r="E21" s="26"/>
    </row>
    <row r="22" spans="1:5" x14ac:dyDescent="0.25">
      <c r="A22" s="46" t="s">
        <v>50</v>
      </c>
      <c r="B22" s="20">
        <v>50000</v>
      </c>
      <c r="C22" s="25"/>
      <c r="D22" s="22"/>
      <c r="E22" s="23"/>
    </row>
    <row r="23" spans="1:5" x14ac:dyDescent="0.25">
      <c r="A23" s="33" t="s">
        <v>18</v>
      </c>
      <c r="B23" s="20">
        <v>1600000</v>
      </c>
      <c r="C23" s="25"/>
      <c r="D23" s="22"/>
      <c r="E23" s="26"/>
    </row>
    <row r="24" spans="1:5" x14ac:dyDescent="0.25">
      <c r="A24" s="33" t="s">
        <v>19</v>
      </c>
      <c r="B24" s="20">
        <v>5000000</v>
      </c>
      <c r="C24" s="25"/>
      <c r="D24" s="22"/>
      <c r="E24" s="26"/>
    </row>
    <row r="25" spans="1:5" x14ac:dyDescent="0.25">
      <c r="A25" s="33" t="s">
        <v>20</v>
      </c>
      <c r="B25" s="20">
        <v>150000</v>
      </c>
      <c r="C25" s="25"/>
      <c r="D25" s="22"/>
      <c r="E25" s="26"/>
    </row>
    <row r="26" spans="1:5" x14ac:dyDescent="0.25">
      <c r="A26" s="29" t="s">
        <v>21</v>
      </c>
      <c r="B26" s="20">
        <v>60000</v>
      </c>
      <c r="C26" s="25"/>
      <c r="D26" s="22"/>
      <c r="E26" s="26"/>
    </row>
    <row r="27" spans="1:5" x14ac:dyDescent="0.25">
      <c r="A27" s="29" t="s">
        <v>22</v>
      </c>
      <c r="B27" s="20">
        <v>150000</v>
      </c>
      <c r="C27" s="25"/>
      <c r="D27" s="22"/>
      <c r="E27" s="26"/>
    </row>
    <row r="28" spans="1:5" x14ac:dyDescent="0.25">
      <c r="A28" s="33" t="s">
        <v>23</v>
      </c>
      <c r="B28" s="20">
        <v>0</v>
      </c>
      <c r="C28" s="25"/>
      <c r="D28" s="22"/>
      <c r="E28" s="26"/>
    </row>
    <row r="29" spans="1:5" x14ac:dyDescent="0.25">
      <c r="A29" s="33" t="s">
        <v>24</v>
      </c>
      <c r="B29" s="20">
        <v>4000000</v>
      </c>
      <c r="C29" s="25"/>
      <c r="D29" s="22"/>
      <c r="E29" s="26"/>
    </row>
    <row r="30" spans="1:5" x14ac:dyDescent="0.25">
      <c r="A30" s="34" t="s">
        <v>25</v>
      </c>
      <c r="B30" s="20">
        <v>200000</v>
      </c>
      <c r="C30" s="25"/>
      <c r="D30" s="22"/>
      <c r="E30" s="32"/>
    </row>
    <row r="31" spans="1:5" x14ac:dyDescent="0.25">
      <c r="A31" s="46" t="s">
        <v>51</v>
      </c>
      <c r="B31" s="20">
        <v>50000</v>
      </c>
      <c r="C31" s="25"/>
      <c r="D31" s="22"/>
      <c r="E31" s="23"/>
    </row>
    <row r="32" spans="1:5" x14ac:dyDescent="0.25">
      <c r="A32" s="34" t="s">
        <v>26</v>
      </c>
      <c r="B32" s="20">
        <v>0</v>
      </c>
      <c r="C32" s="25"/>
      <c r="D32" s="22"/>
      <c r="E32" s="30"/>
    </row>
    <row r="33" spans="1:5" x14ac:dyDescent="0.25">
      <c r="A33" s="34" t="s">
        <v>27</v>
      </c>
      <c r="B33" s="20">
        <v>130000</v>
      </c>
      <c r="C33" s="25"/>
      <c r="D33" s="22"/>
      <c r="E33" s="32"/>
    </row>
    <row r="34" spans="1:5" x14ac:dyDescent="0.25">
      <c r="A34" s="34" t="s">
        <v>28</v>
      </c>
      <c r="B34" s="20">
        <v>70000</v>
      </c>
      <c r="C34" s="25"/>
      <c r="D34" s="22"/>
      <c r="E34" s="30"/>
    </row>
    <row r="35" spans="1:5" x14ac:dyDescent="0.25">
      <c r="A35" s="34" t="s">
        <v>29</v>
      </c>
      <c r="B35" s="20">
        <v>20000</v>
      </c>
      <c r="C35" s="25"/>
      <c r="D35" s="22"/>
      <c r="E35" s="26"/>
    </row>
    <row r="36" spans="1:5" x14ac:dyDescent="0.25">
      <c r="A36" s="31" t="s">
        <v>30</v>
      </c>
      <c r="B36" s="20">
        <v>60000</v>
      </c>
      <c r="C36" s="25"/>
      <c r="D36" s="22"/>
      <c r="E36" s="23"/>
    </row>
    <row r="37" spans="1:5" x14ac:dyDescent="0.25">
      <c r="A37" s="31" t="s">
        <v>31</v>
      </c>
      <c r="B37" s="20">
        <v>85000</v>
      </c>
      <c r="C37" s="25"/>
      <c r="D37" s="22"/>
      <c r="E37" s="26"/>
    </row>
    <row r="38" spans="1:5" x14ac:dyDescent="0.25">
      <c r="A38" s="46" t="s">
        <v>46</v>
      </c>
      <c r="B38" s="20">
        <v>30000</v>
      </c>
      <c r="C38" s="25"/>
      <c r="D38" s="22"/>
      <c r="E38" s="26"/>
    </row>
    <row r="39" spans="1:5" x14ac:dyDescent="0.25">
      <c r="A39" s="33" t="s">
        <v>32</v>
      </c>
      <c r="B39" s="20">
        <v>30000</v>
      </c>
      <c r="C39" s="25"/>
      <c r="D39" s="22"/>
      <c r="E39" s="26"/>
    </row>
    <row r="40" spans="1:5" x14ac:dyDescent="0.25">
      <c r="A40" s="33" t="s">
        <v>33</v>
      </c>
      <c r="B40" s="20">
        <v>50000</v>
      </c>
      <c r="C40" s="25"/>
      <c r="D40" s="22"/>
      <c r="E40" s="35"/>
    </row>
    <row r="41" spans="1:5" x14ac:dyDescent="0.25">
      <c r="A41" s="33" t="s">
        <v>34</v>
      </c>
      <c r="B41" s="20">
        <v>100000</v>
      </c>
      <c r="C41" s="25"/>
      <c r="D41" s="22"/>
      <c r="E41" s="35"/>
    </row>
    <row r="42" spans="1:5" x14ac:dyDescent="0.25">
      <c r="A42" s="33" t="s">
        <v>35</v>
      </c>
      <c r="B42" s="20">
        <v>50000</v>
      </c>
      <c r="C42" s="25"/>
      <c r="D42" s="22"/>
      <c r="E42" s="26"/>
    </row>
    <row r="43" spans="1:5" x14ac:dyDescent="0.25">
      <c r="A43" s="33" t="s">
        <v>36</v>
      </c>
      <c r="B43" s="20">
        <v>100000</v>
      </c>
      <c r="C43" s="25"/>
      <c r="D43" s="22"/>
      <c r="E43" s="26"/>
    </row>
    <row r="44" spans="1:5" x14ac:dyDescent="0.25">
      <c r="A44" s="33" t="s">
        <v>37</v>
      </c>
      <c r="B44" s="20">
        <v>500000</v>
      </c>
      <c r="C44" s="25"/>
      <c r="D44" s="22"/>
      <c r="E44" s="26"/>
    </row>
    <row r="45" spans="1:5" x14ac:dyDescent="0.25">
      <c r="A45" s="29" t="s">
        <v>38</v>
      </c>
      <c r="B45" s="20">
        <v>0</v>
      </c>
      <c r="C45" s="25"/>
      <c r="D45" s="22"/>
      <c r="E45" s="26"/>
    </row>
    <row r="46" spans="1:5" x14ac:dyDescent="0.25">
      <c r="A46" s="8" t="s">
        <v>39</v>
      </c>
      <c r="B46" s="9">
        <f>SUM(B10:B45)</f>
        <v>20313887</v>
      </c>
      <c r="C46" s="9">
        <f>SUM(C10:C45)</f>
        <v>0</v>
      </c>
      <c r="D46" s="36">
        <f>B46-C46</f>
        <v>20313887</v>
      </c>
      <c r="E46" s="37"/>
    </row>
    <row r="47" spans="1:5" x14ac:dyDescent="0.25">
      <c r="A47" s="38" t="s">
        <v>40</v>
      </c>
      <c r="B47" s="39"/>
      <c r="C47" s="40"/>
      <c r="D47" s="41"/>
      <c r="E47" s="42"/>
    </row>
    <row r="48" spans="1:5" x14ac:dyDescent="0.25">
      <c r="A48" s="8" t="s">
        <v>41</v>
      </c>
      <c r="B48" s="9">
        <f>B6-B46</f>
        <v>1260113</v>
      </c>
      <c r="C48" s="43">
        <f>C6-C46</f>
        <v>0</v>
      </c>
      <c r="D48" s="36">
        <f>D6-D46</f>
        <v>-20313887</v>
      </c>
      <c r="E48" s="11"/>
    </row>
  </sheetData>
  <conditionalFormatting sqref="A10:A45">
    <cfRule type="expression" dxfId="1" priority="1">
      <formula>"IF=1"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signedTo xmlns="http://schemas.microsoft.com/sharepoint/v3">
      <UserInfo>
        <DisplayName/>
        <AccountId xsi:nil="true"/>
        <AccountType/>
      </UserInfo>
    </AssignedTo>
    <lcf76f155ced4ddcb4097134ff3c332f xmlns="3114b7f9-d209-464a-a094-184b37d1c60e">
      <Terms xmlns="http://schemas.microsoft.com/office/infopath/2007/PartnerControls"/>
    </lcf76f155ced4ddcb4097134ff3c332f>
    <TaxCatchAll xmlns="87ef74bf-a162-4a4d-b9ce-9e501f8f3455" xsi:nil="true"/>
    <_DCDateCreated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3225E93535614DA8716140FC3ED4A9" ma:contentTypeVersion="19" ma:contentTypeDescription="Crear nuevo documento." ma:contentTypeScope="" ma:versionID="e0940ec39a3c5eba4509019169942a6e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3114b7f9-d209-464a-a094-184b37d1c60e" xmlns:ns4="87ef74bf-a162-4a4d-b9ce-9e501f8f3455" targetNamespace="http://schemas.microsoft.com/office/2006/metadata/properties" ma:root="true" ma:fieldsID="141cc9d8657a4b721aa54db364fe88ce" ns1:_="" ns2:_="" ns3:_="" ns4:_="">
    <xsd:import namespace="http://schemas.microsoft.com/sharepoint/v3"/>
    <xsd:import namespace="http://schemas.microsoft.com/sharepoint/v3/fields"/>
    <xsd:import namespace="3114b7f9-d209-464a-a094-184b37d1c60e"/>
    <xsd:import namespace="87ef74bf-a162-4a4d-b9ce-9e501f8f3455"/>
    <xsd:element name="properties">
      <xsd:complexType>
        <xsd:sequence>
          <xsd:element name="documentManagement">
            <xsd:complexType>
              <xsd:all>
                <xsd:element ref="ns1:AssignedTo" minOccurs="0"/>
                <xsd:element ref="ns2:_DCDateCreate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ssignedTo" ma:index="8" nillable="true" ma:displayName="Asignado a" ma:list="UserInfo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11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4b7f9-d209-464a-a094-184b37d1c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eca6b2fd-3c7f-45e3-8252-6b01b0b2e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f74bf-a162-4a4d-b9ce-9e501f8f3455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fed28cf2-4b89-4499-9ae0-34003ab7f088}" ma:internalName="TaxCatchAll" ma:showField="CatchAllData" ma:web="87ef74bf-a162-4a4d-b9ce-9e501f8f34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9" ma:displayName="Autor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 ma:index="10" ma:displayName="Asunto"/>
        <xsd:element ref="dc:description" minOccurs="0" maxOccurs="1" ma:index="12" ma:displayName="Comentario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237A0-E94A-40A0-B091-B4EB68E5EDF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114b7f9-d209-464a-a094-184b37d1c60e"/>
    <ds:schemaRef ds:uri="87ef74bf-a162-4a4d-b9ce-9e501f8f3455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87D9132A-8766-44D7-AB7B-3189442397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42384D-F7B2-459D-A5A9-71D45D05D1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Agosto 2023</vt:lpstr>
      <vt:lpstr>Septiembre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Julián Alberto Castiblanco Palacios</cp:lastModifiedBy>
  <cp:revision/>
  <dcterms:created xsi:type="dcterms:W3CDTF">2023-10-03T18:01:33Z</dcterms:created>
  <dcterms:modified xsi:type="dcterms:W3CDTF">2023-10-09T03:15:56Z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0x0101008E3225E93535614DA8716140FC3ED4A9</vt:lpwstr>
  </property>
  <property fmtid="{D5CDD505-2E9C-101B-9397-08002B2CF9AE}" pid="3" name="MediaServiceImageTags">
    <vt:lpwstr/>
  </property>
</Properties>
</file>